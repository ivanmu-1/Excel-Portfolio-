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van\Documents\"/>
    </mc:Choice>
  </mc:AlternateContent>
  <xr:revisionPtr revIDLastSave="0" documentId="13_ncr:1_{D82A12CB-E5C6-43CD-A6CA-AD1EC2E60E62}" xr6:coauthVersionLast="47" xr6:coauthVersionMax="47" xr10:uidLastSave="{00000000-0000-0000-0000-000000000000}"/>
  <bookViews>
    <workbookView xWindow="-110" yWindow="-110" windowWidth="38620" windowHeight="21220" xr2:uid="{9D3486E8-8C12-4C8C-85D2-D05C8304809A}"/>
  </bookViews>
  <sheets>
    <sheet name="Invoice Template" sheetId="1" r:id="rId1"/>
    <sheet name="Customers Details" sheetId="2" r:id="rId2"/>
    <sheet name="Record of Invoices" sheetId="3" r:id="rId3"/>
  </sheets>
  <definedNames>
    <definedName name="Cust_listdropdown">Customer_list[Customer 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  <c r="B16" i="1"/>
  <c r="B15" i="1"/>
  <c r="B14" i="1"/>
  <c r="B13" i="1"/>
  <c r="B12" i="1"/>
  <c r="B11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19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7" i="1" l="1"/>
  <c r="H36" i="1"/>
  <c r="H38" i="1" l="1"/>
</calcChain>
</file>

<file path=xl/sharedStrings.xml><?xml version="1.0" encoding="utf-8"?>
<sst xmlns="http://schemas.openxmlformats.org/spreadsheetml/2006/main" count="80" uniqueCount="66">
  <si>
    <t xml:space="preserve">Company Name </t>
  </si>
  <si>
    <t xml:space="preserve">Invoice </t>
  </si>
  <si>
    <t>Invoice Number</t>
  </si>
  <si>
    <t>PO Number</t>
  </si>
  <si>
    <t>Your Logo Here</t>
  </si>
  <si>
    <t xml:space="preserve">Date </t>
  </si>
  <si>
    <t>Terms (Days)</t>
  </si>
  <si>
    <t xml:space="preserve">Invoice To: </t>
  </si>
  <si>
    <t xml:space="preserve">Description </t>
  </si>
  <si>
    <t xml:space="preserve">Qty: </t>
  </si>
  <si>
    <t xml:space="preserve">Price: </t>
  </si>
  <si>
    <t xml:space="preserve">VAT </t>
  </si>
  <si>
    <t xml:space="preserve">Total (exc vat) </t>
  </si>
  <si>
    <t>Customer Message</t>
  </si>
  <si>
    <t>SubTotal</t>
  </si>
  <si>
    <t xml:space="preserve">Total </t>
  </si>
  <si>
    <t xml:space="preserve">Company Details </t>
  </si>
  <si>
    <t>Payment Details</t>
  </si>
  <si>
    <t>Company Number</t>
  </si>
  <si>
    <t>Account Number</t>
  </si>
  <si>
    <t xml:space="preserve">VAT Number. </t>
  </si>
  <si>
    <t>Bank</t>
  </si>
  <si>
    <t>Telephone Number</t>
  </si>
  <si>
    <t>Sort Code</t>
  </si>
  <si>
    <t xml:space="preserve">Email </t>
  </si>
  <si>
    <t xml:space="preserve">IBAN </t>
  </si>
  <si>
    <t>Customer Name</t>
  </si>
  <si>
    <t xml:space="preserve">Address 1 </t>
  </si>
  <si>
    <t>City</t>
  </si>
  <si>
    <t>State</t>
  </si>
  <si>
    <t>Zip Code</t>
  </si>
  <si>
    <t>Phone Number</t>
  </si>
  <si>
    <t>Mark Scout</t>
  </si>
  <si>
    <t>3124 Lumon Drive</t>
  </si>
  <si>
    <t xml:space="preserve">Kier Eagan </t>
  </si>
  <si>
    <t xml:space="preserve">Utah </t>
  </si>
  <si>
    <t>341-567-1041</t>
  </si>
  <si>
    <t>Mark@lumon.org</t>
  </si>
  <si>
    <t>Iriving Bailiff</t>
  </si>
  <si>
    <t>3412 Eafle Drive</t>
  </si>
  <si>
    <t>727-451-1025</t>
  </si>
  <si>
    <t>Iriving@lumon.org</t>
  </si>
  <si>
    <t>Helly Eagan</t>
  </si>
  <si>
    <t>4201 Kier Road</t>
  </si>
  <si>
    <t>343-291-1902</t>
  </si>
  <si>
    <t>Helly@lumon.org</t>
  </si>
  <si>
    <t>Dylan G</t>
  </si>
  <si>
    <t>5910 Lumon Drive</t>
  </si>
  <si>
    <t>445-123-6731</t>
  </si>
  <si>
    <t>Dylan@lumon.org</t>
  </si>
  <si>
    <t xml:space="preserve">Harmony Cobel </t>
  </si>
  <si>
    <t>3123 Lumon Drive</t>
  </si>
  <si>
    <t>224-941-2049</t>
  </si>
  <si>
    <t>Cobel@lumon.org</t>
  </si>
  <si>
    <t>Seth MilChick</t>
  </si>
  <si>
    <t>4912 Jacob Ave</t>
  </si>
  <si>
    <t>123-591-1204</t>
  </si>
  <si>
    <t>MilChick@lumon.org</t>
  </si>
  <si>
    <t>Company</t>
  </si>
  <si>
    <t>Amt</t>
  </si>
  <si>
    <t>Date Issues</t>
  </si>
  <si>
    <t>Date Due</t>
  </si>
  <si>
    <t>Paid</t>
  </si>
  <si>
    <t>Invoice saved as pdf</t>
  </si>
  <si>
    <t>Invoice saved as Excel file</t>
  </si>
  <si>
    <t xml:space="preserve">Invoice emailed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</si>
</sst>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164" formatCode="&quot;$&quot;#,##0.00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masis MT Pro Black"/>
      <family val="1"/>
    </font>
    <font>
      <sz val="20"/>
      <color theme="1"/>
      <name val="ADLaM Display"/>
    </font>
    <font>
      <sz val="26"/>
      <color theme="1"/>
      <name val="ADLaM Display"/>
    </font>
    <font>
      <sz val="12"/>
      <color theme="1"/>
      <name val="Times New Roman"/>
      <family val="1"/>
    </font>
    <font>
      <b/>
      <sz val="11"/>
      <color theme="1"/>
      <name val="Amasis MT Pro Black"/>
      <family val="1"/>
    </font>
    <font>
      <sz val="11"/>
      <color theme="1"/>
      <name val="Amasis MT Pro"/>
      <family val="1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1"/>
      <color theme="3" tint="0.499984740745262"/>
      <name val="Amasis MT Pro"/>
      <family val="1"/>
    </font>
    <font>
      <sz val="11"/>
      <color theme="0"/>
      <name val="Amasis MT Pro"/>
      <family val="1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</fills>
  <borders count="4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93">
    <xf numFmtId="0" fontId="0" fillId="0" borderId="0" xfId="0"/>
    <xf numFmtId="0" fontId="0" fillId="0" borderId="3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0" xfId="0" applyFill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0" fillId="0" borderId="1" xfId="0" applyBorder="1"/>
    <xf numFmtId="0" fontId="4" fillId="2" borderId="0" xfId="0" applyFont="1" applyFill="1"/>
    <xf numFmtId="0" fontId="0" fillId="0" borderId="26" xfId="0" applyBorder="1"/>
    <xf numFmtId="0" fontId="0" fillId="0" borderId="21" xfId="0" applyBorder="1"/>
    <xf numFmtId="0" fontId="0" fillId="0" borderId="27" xfId="0" applyBorder="1"/>
    <xf numFmtId="0" fontId="4" fillId="2" borderId="5" xfId="0" applyFont="1" applyFill="1" applyBorder="1"/>
    <xf numFmtId="0" fontId="4" fillId="2" borderId="8" xfId="0" applyFont="1" applyFill="1" applyBorder="1"/>
    <xf numFmtId="0" fontId="4" fillId="2" borderId="10" xfId="0" applyFont="1" applyFill="1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6" fillId="0" borderId="16" xfId="0" applyFont="1" applyBorder="1"/>
    <xf numFmtId="0" fontId="5" fillId="0" borderId="2" xfId="0" applyFont="1" applyBorder="1"/>
    <xf numFmtId="0" fontId="8" fillId="0" borderId="0" xfId="1"/>
    <xf numFmtId="0" fontId="6" fillId="0" borderId="1" xfId="0" applyFont="1" applyBorder="1"/>
    <xf numFmtId="164" fontId="6" fillId="0" borderId="1" xfId="0" applyNumberFormat="1" applyFont="1" applyBorder="1"/>
    <xf numFmtId="164" fontId="6" fillId="0" borderId="9" xfId="0" applyNumberFormat="1" applyFont="1" applyBorder="1"/>
    <xf numFmtId="0" fontId="6" fillId="0" borderId="11" xfId="0" applyFont="1" applyBorder="1"/>
    <xf numFmtId="164" fontId="6" fillId="0" borderId="11" xfId="0" applyNumberFormat="1" applyFont="1" applyBorder="1"/>
    <xf numFmtId="164" fontId="6" fillId="0" borderId="12" xfId="0" applyNumberFormat="1" applyFont="1" applyBorder="1"/>
    <xf numFmtId="0" fontId="6" fillId="0" borderId="28" xfId="0" applyFont="1" applyBorder="1"/>
    <xf numFmtId="164" fontId="6" fillId="0" borderId="28" xfId="0" applyNumberFormat="1" applyFont="1" applyBorder="1"/>
    <xf numFmtId="164" fontId="6" fillId="0" borderId="40" xfId="0" applyNumberFormat="1" applyFont="1" applyBorder="1"/>
    <xf numFmtId="0" fontId="1" fillId="2" borderId="42" xfId="0" applyFont="1" applyFill="1" applyBorder="1"/>
    <xf numFmtId="0" fontId="1" fillId="2" borderId="43" xfId="0" applyFont="1" applyFill="1" applyBorder="1"/>
    <xf numFmtId="0" fontId="10" fillId="5" borderId="0" xfId="0" applyFont="1" applyFill="1"/>
    <xf numFmtId="7" fontId="0" fillId="0" borderId="0" xfId="0" applyNumberFormat="1"/>
    <xf numFmtId="14" fontId="0" fillId="0" borderId="0" xfId="0" applyNumberFormat="1"/>
    <xf numFmtId="19" fontId="0" fillId="0" borderId="0" xfId="0" applyNumberFormat="1"/>
    <xf numFmtId="0" fontId="6" fillId="0" borderId="16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0" fillId="6" borderId="13" xfId="0" applyFill="1" applyBorder="1" applyAlignment="1">
      <alignment horizontal="center"/>
    </xf>
    <xf numFmtId="22" fontId="0" fillId="0" borderId="0" xfId="0" applyNumberFormat="1"/>
    <xf numFmtId="0" fontId="0" fillId="0" borderId="19" xfId="0" applyBorder="1"/>
    <xf numFmtId="0" fontId="0" fillId="0" borderId="20" xfId="0" applyBorder="1"/>
    <xf numFmtId="0" fontId="0" fillId="0" borderId="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" xfId="0" applyBorder="1"/>
    <xf numFmtId="0" fontId="0" fillId="0" borderId="4" xfId="0" applyBorder="1"/>
    <xf numFmtId="0" fontId="0" fillId="0" borderId="36" xfId="0" applyBorder="1"/>
    <xf numFmtId="0" fontId="0" fillId="0" borderId="37" xfId="0" applyBorder="1"/>
    <xf numFmtId="0" fontId="0" fillId="0" borderId="22" xfId="0" applyBorder="1"/>
    <xf numFmtId="164" fontId="0" fillId="0" borderId="0" xfId="0" applyNumberFormat="1"/>
    <xf numFmtId="0" fontId="0" fillId="0" borderId="17" xfId="0" applyBorder="1"/>
    <xf numFmtId="164" fontId="0" fillId="0" borderId="3" xfId="0" applyNumberFormat="1" applyBorder="1"/>
    <xf numFmtId="0" fontId="1" fillId="2" borderId="23" xfId="0" applyFont="1" applyFill="1" applyBorder="1"/>
    <xf numFmtId="0" fontId="1" fillId="2" borderId="29" xfId="0" applyFont="1" applyFill="1" applyBorder="1"/>
    <xf numFmtId="0" fontId="1" fillId="2" borderId="38" xfId="0" applyFont="1" applyFill="1" applyBorder="1"/>
    <xf numFmtId="0" fontId="1" fillId="2" borderId="24" xfId="0" applyFont="1" applyFill="1" applyBorder="1"/>
    <xf numFmtId="0" fontId="1" fillId="2" borderId="25" xfId="0" applyFont="1" applyFill="1" applyBorder="1"/>
    <xf numFmtId="0" fontId="6" fillId="0" borderId="8" xfId="0" applyFont="1" applyBorder="1"/>
    <xf numFmtId="0" fontId="6" fillId="0" borderId="1" xfId="0" applyFont="1" applyBorder="1"/>
    <xf numFmtId="0" fontId="6" fillId="0" borderId="10" xfId="0" applyFont="1" applyBorder="1"/>
    <xf numFmtId="0" fontId="6" fillId="0" borderId="11" xfId="0" applyFont="1" applyBorder="1"/>
    <xf numFmtId="0" fontId="2" fillId="0" borderId="2" xfId="0" applyFont="1" applyBorder="1"/>
    <xf numFmtId="0" fontId="2" fillId="0" borderId="3" xfId="0" applyFont="1" applyBorder="1"/>
    <xf numFmtId="0" fontId="3" fillId="0" borderId="3" xfId="0" applyFont="1" applyBorder="1"/>
    <xf numFmtId="0" fontId="3" fillId="0" borderId="4" xfId="0" applyFont="1" applyBorder="1"/>
    <xf numFmtId="0" fontId="6" fillId="0" borderId="6" xfId="0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6" fillId="0" borderId="9" xfId="0" applyFont="1" applyBorder="1" applyAlignment="1">
      <alignment horizontal="right"/>
    </xf>
    <xf numFmtId="14" fontId="6" fillId="0" borderId="1" xfId="0" applyNumberFormat="1" applyFont="1" applyBorder="1"/>
    <xf numFmtId="0" fontId="6" fillId="0" borderId="9" xfId="0" applyFont="1" applyBorder="1"/>
    <xf numFmtId="0" fontId="6" fillId="0" borderId="12" xfId="0" applyFont="1" applyBorder="1"/>
    <xf numFmtId="0" fontId="1" fillId="2" borderId="41" xfId="0" applyFont="1" applyFill="1" applyBorder="1"/>
    <xf numFmtId="0" fontId="1" fillId="2" borderId="42" xfId="0" applyFont="1" applyFill="1" applyBorder="1"/>
    <xf numFmtId="0" fontId="6" fillId="0" borderId="39" xfId="0" applyFont="1" applyBorder="1"/>
    <xf numFmtId="0" fontId="6" fillId="0" borderId="28" xfId="0" applyFont="1" applyBorder="1"/>
    <xf numFmtId="0" fontId="0" fillId="0" borderId="14" xfId="0" applyBorder="1"/>
    <xf numFmtId="0" fontId="0" fillId="0" borderId="15" xfId="0" applyBorder="1"/>
    <xf numFmtId="0" fontId="0" fillId="0" borderId="0" xfId="0"/>
  </cellXfs>
  <cellStyles count="2">
    <cellStyle name="Hyperlink" xfId="1" builtinId="8"/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428625</xdr:colOff>
      <xdr:row>2</xdr:row>
      <xdr:rowOff>60325</xdr:rowOff>
    </xdr:from>
    <xdr:to>
      <xdr:col>13</xdr:col>
      <xdr:colOff>212725</xdr:colOff>
      <xdr:row>5</xdr:row>
      <xdr:rowOff>73025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4FB405F-E403-3DEE-04E5-6452B7A2AF19}"/>
            </a:ext>
          </a:extLst>
        </xdr:cNvPr>
        <xdr:cNvGrpSpPr/>
      </xdr:nvGrpSpPr>
      <xdr:grpSpPr>
        <a:xfrm>
          <a:off x="7381875" y="701675"/>
          <a:ext cx="1612900" cy="603250"/>
          <a:chOff x="7143750" y="698501"/>
          <a:chExt cx="1612900" cy="58420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7143750" y="698501"/>
                <a:ext cx="1612900" cy="58420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91440" tIns="45720" rIns="457200" bIns="4572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Record invoice</a:t>
                </a:r>
              </a:p>
            </xdr:txBody>
          </xdr:sp>
        </mc:Choice>
        <mc:Fallback/>
      </mc:AlternateContent>
      <xdr:pic>
        <xdr:nvPicPr>
          <xdr:cNvPr id="5" name="Graphic 4" descr="Badge Follow with solid fill">
            <a:extLst>
              <a:ext uri="{FF2B5EF4-FFF2-40B4-BE49-F238E27FC236}">
                <a16:creationId xmlns:a16="http://schemas.microsoft.com/office/drawing/2014/main" id="{A775AB7A-0BD1-FC7D-9E14-677101275C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331200" y="838200"/>
            <a:ext cx="330200" cy="3302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422275</xdr:colOff>
      <xdr:row>6</xdr:row>
      <xdr:rowOff>139700</xdr:rowOff>
    </xdr:from>
    <xdr:to>
      <xdr:col>13</xdr:col>
      <xdr:colOff>219075</xdr:colOff>
      <xdr:row>9</xdr:row>
      <xdr:rowOff>165100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7383F750-AEF1-23D8-7475-924A2E25B228}"/>
            </a:ext>
          </a:extLst>
        </xdr:cNvPr>
        <xdr:cNvGrpSpPr/>
      </xdr:nvGrpSpPr>
      <xdr:grpSpPr>
        <a:xfrm>
          <a:off x="7375525" y="1574800"/>
          <a:ext cx="1625600" cy="590550"/>
          <a:chOff x="7137400" y="1549398"/>
          <a:chExt cx="1625600" cy="57785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Button 18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000-000012040000}"/>
                  </a:ext>
                </a:extLst>
              </xdr:cNvPr>
              <xdr:cNvSpPr/>
            </xdr:nvSpPr>
            <xdr:spPr bwMode="auto">
              <a:xfrm>
                <a:off x="7137400" y="1549398"/>
                <a:ext cx="1625600" cy="5778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91440" tIns="45720" rIns="457200" bIns="4572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Create New Invoice</a:t>
                </a:r>
              </a:p>
            </xdr:txBody>
          </xdr:sp>
        </mc:Choice>
        <mc:Fallback/>
      </mc:AlternateContent>
      <xdr:pic>
        <xdr:nvPicPr>
          <xdr:cNvPr id="7" name="Graphic 6" descr="Document outline">
            <a:extLst>
              <a:ext uri="{FF2B5EF4-FFF2-40B4-BE49-F238E27FC236}">
                <a16:creationId xmlns:a16="http://schemas.microsoft.com/office/drawing/2014/main" id="{C1D621C3-94CC-2E50-57A0-A025081682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8267700" y="1587500"/>
            <a:ext cx="482600" cy="4826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415925</xdr:colOff>
      <xdr:row>11</xdr:row>
      <xdr:rowOff>31750</xdr:rowOff>
    </xdr:from>
    <xdr:to>
      <xdr:col>13</xdr:col>
      <xdr:colOff>231775</xdr:colOff>
      <xdr:row>13</xdr:row>
      <xdr:rowOff>171450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9477C4DB-8818-DC00-D16E-305F6328E8A7}"/>
            </a:ext>
          </a:extLst>
        </xdr:cNvPr>
        <xdr:cNvGrpSpPr/>
      </xdr:nvGrpSpPr>
      <xdr:grpSpPr>
        <a:xfrm>
          <a:off x="7369175" y="2400300"/>
          <a:ext cx="1644650" cy="508000"/>
          <a:chOff x="7131050" y="2355849"/>
          <a:chExt cx="1644650" cy="50165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7" name="Button 23" hidden="1">
                <a:extLst>
                  <a:ext uri="{63B3BB69-23CF-44E3-9099-C40C66FF867C}">
                    <a14:compatExt spid="_x0000_s1047"/>
                  </a:ext>
                  <a:ext uri="{FF2B5EF4-FFF2-40B4-BE49-F238E27FC236}">
                    <a16:creationId xmlns:a16="http://schemas.microsoft.com/office/drawing/2014/main" id="{00000000-0008-0000-0000-000017040000}"/>
                  </a:ext>
                </a:extLst>
              </xdr:cNvPr>
              <xdr:cNvSpPr/>
            </xdr:nvSpPr>
            <xdr:spPr bwMode="auto">
              <a:xfrm>
                <a:off x="7131050" y="2355849"/>
                <a:ext cx="1644650" cy="501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91440" tIns="45720" rIns="457200" bIns="4572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as Excel</a:t>
                </a:r>
              </a:p>
            </xdr:txBody>
          </xdr:sp>
        </mc:Choice>
        <mc:Fallback/>
      </mc:AlternateContent>
      <xdr:pic>
        <xdr:nvPicPr>
          <xdr:cNvPr id="9" name="Graphic 8" descr="Download from cloud with solid fill">
            <a:extLst>
              <a:ext uri="{FF2B5EF4-FFF2-40B4-BE49-F238E27FC236}">
                <a16:creationId xmlns:a16="http://schemas.microsoft.com/office/drawing/2014/main" id="{B5B765C0-A905-D868-B9B8-BE481B8A43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286750" y="2419350"/>
            <a:ext cx="381000" cy="381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441325</xdr:colOff>
      <xdr:row>15</xdr:row>
      <xdr:rowOff>88900</xdr:rowOff>
    </xdr:from>
    <xdr:to>
      <xdr:col>13</xdr:col>
      <xdr:colOff>238125</xdr:colOff>
      <xdr:row>18</xdr:row>
      <xdr:rowOff>34925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A8BE7393-B26E-D359-4BDF-4C40E6DD83DA}"/>
            </a:ext>
          </a:extLst>
        </xdr:cNvPr>
        <xdr:cNvGrpSpPr/>
      </xdr:nvGrpSpPr>
      <xdr:grpSpPr>
        <a:xfrm>
          <a:off x="7394575" y="3194050"/>
          <a:ext cx="1625600" cy="511175"/>
          <a:chOff x="7156450" y="3136902"/>
          <a:chExt cx="1625600" cy="508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0" name="Button 2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000-00001A040000}"/>
                  </a:ext>
                </a:extLst>
              </xdr:cNvPr>
              <xdr:cNvSpPr/>
            </xdr:nvSpPr>
            <xdr:spPr bwMode="auto">
              <a:xfrm>
                <a:off x="7156450" y="3136902"/>
                <a:ext cx="1625600" cy="50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91440" tIns="45720" rIns="457200" bIns="4572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as PDF</a:t>
                </a:r>
              </a:p>
            </xdr:txBody>
          </xdr:sp>
        </mc:Choice>
        <mc:Fallback/>
      </mc:AlternateContent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6251DC28-5C85-135E-A717-8BC21ABB23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62950" y="3212338"/>
            <a:ext cx="285750" cy="351402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428625</xdr:colOff>
      <xdr:row>19</xdr:row>
      <xdr:rowOff>101600</xdr:rowOff>
    </xdr:from>
    <xdr:to>
      <xdr:col>13</xdr:col>
      <xdr:colOff>257175</xdr:colOff>
      <xdr:row>22</xdr:row>
      <xdr:rowOff>79375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4B121519-F33C-5F2E-0474-DBCE1831E252}"/>
            </a:ext>
          </a:extLst>
        </xdr:cNvPr>
        <xdr:cNvGrpSpPr/>
      </xdr:nvGrpSpPr>
      <xdr:grpSpPr>
        <a:xfrm>
          <a:off x="7381875" y="3956050"/>
          <a:ext cx="1657350" cy="530225"/>
          <a:chOff x="7143750" y="3892552"/>
          <a:chExt cx="1657350" cy="5207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4" name="Button 30" hidden="1">
                <a:extLst>
                  <a:ext uri="{63B3BB69-23CF-44E3-9099-C40C66FF867C}">
                    <a14:compatExt spid="_x0000_s1054"/>
                  </a:ext>
                  <a:ext uri="{FF2B5EF4-FFF2-40B4-BE49-F238E27FC236}">
                    <a16:creationId xmlns:a16="http://schemas.microsoft.com/office/drawing/2014/main" id="{00000000-0008-0000-0000-00001E040000}"/>
                  </a:ext>
                </a:extLst>
              </xdr:cNvPr>
              <xdr:cNvSpPr/>
            </xdr:nvSpPr>
            <xdr:spPr bwMode="auto">
              <a:xfrm>
                <a:off x="7143750" y="3892552"/>
                <a:ext cx="1657350" cy="520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91440" tIns="45720" rIns="457200" bIns="4572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Email as PDF</a:t>
                </a:r>
              </a:p>
            </xdr:txBody>
          </xdr:sp>
        </mc:Choice>
        <mc:Fallback/>
      </mc:AlternateContent>
      <xdr:pic>
        <xdr:nvPicPr>
          <xdr:cNvPr id="17" name="Graphic 16" descr="Envelope with solid fill">
            <a:extLst>
              <a:ext uri="{FF2B5EF4-FFF2-40B4-BE49-F238E27FC236}">
                <a16:creationId xmlns:a16="http://schemas.microsoft.com/office/drawing/2014/main" id="{8E9A88F0-882D-3732-0F4E-FD93027CB6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8280400" y="3924300"/>
            <a:ext cx="450850" cy="45085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DD6CC0-B9C4-4B7B-B6C0-3B47178CE325}" name="Customer_list" displayName="Customer_list" ref="A1:G19" totalsRowShown="0">
  <autoFilter ref="A1:G19" xr:uid="{1EDD6CC0-B9C4-4B7B-B6C0-3B47178CE325}"/>
  <tableColumns count="7">
    <tableColumn id="1" xr3:uid="{C574C6E8-E00D-4855-AB00-F57722E8C751}" name="Customer Name"/>
    <tableColumn id="2" xr3:uid="{4D1F840B-1BE6-439C-8EBB-A623D3DB240F}" name="Address 1 "/>
    <tableColumn id="3" xr3:uid="{A0D69BD0-9519-4EE0-A5FB-C6DB59690D6E}" name="City"/>
    <tableColumn id="4" xr3:uid="{742AD3C4-9C4B-422B-A0B0-D2CA8ED18C8F}" name="State"/>
    <tableColumn id="5" xr3:uid="{D3FC2B95-D271-4B04-99E6-B0462D6E9032}" name="Zip Code"/>
    <tableColumn id="6" xr3:uid="{9369B249-58EE-43BE-A148-37CD8FA8298E}" name="Phone Number"/>
    <tableColumn id="7" xr3:uid="{6EA0BBCA-AC5E-4885-8CF5-AFA850DEC339}" name="Email 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mailto:Iriving@lumon.org" TargetMode="External"/><Relationship Id="rId7" Type="http://schemas.openxmlformats.org/officeDocument/2006/relationships/hyperlink" Target="mailto:MilChick@lumon.org" TargetMode="External"/><Relationship Id="rId2" Type="http://schemas.openxmlformats.org/officeDocument/2006/relationships/hyperlink" Target="mailto:Mark@lumon.org" TargetMode="External"/><Relationship Id="rId1" Type="http://schemas.openxmlformats.org/officeDocument/2006/relationships/hyperlink" Target="mailto:Mark@lumon.org" TargetMode="External"/><Relationship Id="rId6" Type="http://schemas.openxmlformats.org/officeDocument/2006/relationships/hyperlink" Target="mailto:Cobel@lumon.org" TargetMode="External"/><Relationship Id="rId5" Type="http://schemas.openxmlformats.org/officeDocument/2006/relationships/hyperlink" Target="mailto:Dylan@lumon.org" TargetMode="External"/><Relationship Id="rId4" Type="http://schemas.openxmlformats.org/officeDocument/2006/relationships/hyperlink" Target="mailto:Helly@lumon.or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45975-A4F4-478B-AE03-57D2CBB289F6}">
  <sheetPr codeName="Sheet1"/>
  <dimension ref="A1:I45"/>
  <sheetViews>
    <sheetView showGridLines="0" tabSelected="1" zoomScaleNormal="100" workbookViewId="0">
      <selection activeCell="B10" sqref="B10"/>
    </sheetView>
  </sheetViews>
  <sheetFormatPr defaultRowHeight="14.5" x14ac:dyDescent="0.35"/>
  <cols>
    <col min="1" max="1" width="1.453125" customWidth="1"/>
    <col min="2" max="2" width="19.26953125" customWidth="1"/>
    <col min="5" max="5" width="3.7265625" customWidth="1"/>
    <col min="6" max="6" width="6.1796875" customWidth="1"/>
    <col min="7" max="7" width="15.81640625" customWidth="1"/>
    <col min="8" max="8" width="8.7265625" customWidth="1"/>
    <col min="9" max="9" width="18.1796875" customWidth="1"/>
  </cols>
  <sheetData>
    <row r="1" spans="1:9" ht="35.5" x14ac:dyDescent="0.85">
      <c r="A1" s="75" t="s">
        <v>0</v>
      </c>
      <c r="B1" s="76"/>
      <c r="C1" s="76"/>
      <c r="D1" s="76"/>
      <c r="E1" s="76"/>
      <c r="F1" s="76"/>
      <c r="G1" s="1"/>
      <c r="H1" s="77" t="s">
        <v>1</v>
      </c>
      <c r="I1" s="78"/>
    </row>
    <row r="2" spans="1:9" ht="15" thickBot="1" x14ac:dyDescent="0.4"/>
    <row r="3" spans="1:9" ht="15.5" x14ac:dyDescent="0.35">
      <c r="B3" s="21" t="s">
        <v>2</v>
      </c>
      <c r="C3" s="79">
        <v>1</v>
      </c>
      <c r="D3" s="80"/>
      <c r="G3" s="7"/>
      <c r="H3" s="8"/>
      <c r="I3" s="9"/>
    </row>
    <row r="4" spans="1:9" ht="15.5" x14ac:dyDescent="0.35">
      <c r="B4" s="22" t="s">
        <v>3</v>
      </c>
      <c r="C4" s="81"/>
      <c r="D4" s="82"/>
      <c r="G4" s="10"/>
      <c r="H4" s="11" t="s">
        <v>4</v>
      </c>
      <c r="I4" s="12"/>
    </row>
    <row r="5" spans="1:9" ht="15.5" x14ac:dyDescent="0.35">
      <c r="B5" s="22" t="s">
        <v>5</v>
      </c>
      <c r="C5" s="83">
        <f ca="1">TODAY()</f>
        <v>45698</v>
      </c>
      <c r="D5" s="84"/>
      <c r="G5" s="10"/>
      <c r="H5" s="11"/>
      <c r="I5" s="12"/>
    </row>
    <row r="6" spans="1:9" ht="16" thickBot="1" x14ac:dyDescent="0.4">
      <c r="B6" s="23" t="s">
        <v>6</v>
      </c>
      <c r="C6" s="74">
        <v>60</v>
      </c>
      <c r="D6" s="85"/>
      <c r="G6" s="13"/>
      <c r="H6" s="14"/>
      <c r="I6" s="15"/>
    </row>
    <row r="9" spans="1:9" ht="15.5" x14ac:dyDescent="0.35">
      <c r="B9" s="17" t="s">
        <v>7</v>
      </c>
    </row>
    <row r="10" spans="1:9" x14ac:dyDescent="0.35">
      <c r="B10" s="50" t="s">
        <v>32</v>
      </c>
      <c r="C10" s="90"/>
      <c r="D10" s="91"/>
    </row>
    <row r="11" spans="1:9" x14ac:dyDescent="0.35">
      <c r="B11" s="48" t="str">
        <f>_xlfn.IFNA(VLOOKUP($B$10,Customer_list[],2,0),"")</f>
        <v>3124 Lumon Drive</v>
      </c>
      <c r="C11" s="64"/>
      <c r="D11" s="64"/>
    </row>
    <row r="12" spans="1:9" x14ac:dyDescent="0.35">
      <c r="B12" s="48" t="str">
        <f>_xlfn.IFNA(VLOOKUP($B$10,Customer_list[],3,0),"")</f>
        <v xml:space="preserve">Kier Eagan </v>
      </c>
      <c r="D12" s="3"/>
    </row>
    <row r="13" spans="1:9" x14ac:dyDescent="0.35">
      <c r="B13" s="48" t="str">
        <f>_xlfn.IFNA(VLOOKUP($B$10,Customer_list[],4,0),"")</f>
        <v xml:space="preserve">Utah </v>
      </c>
      <c r="C13" s="92"/>
      <c r="D13" s="64"/>
    </row>
    <row r="14" spans="1:9" x14ac:dyDescent="0.35">
      <c r="B14" s="48">
        <f>_xlfn.IFNA(VLOOKUP($B$10,Customer_list[],5,0),"")</f>
        <v>61990</v>
      </c>
      <c r="D14" s="3"/>
    </row>
    <row r="15" spans="1:9" x14ac:dyDescent="0.35">
      <c r="B15" s="48" t="str">
        <f>_xlfn.IFNA(VLOOKUP($B$10,Customer_list[],6,0),"")</f>
        <v>341-567-1041</v>
      </c>
      <c r="C15" s="64"/>
      <c r="D15" s="64"/>
    </row>
    <row r="16" spans="1:9" x14ac:dyDescent="0.35">
      <c r="B16" s="49" t="str">
        <f>_xlfn.IFNA(VLOOKUP($B$10,Customer_list[],7,0),"")</f>
        <v>Mark@lumon.org</v>
      </c>
      <c r="C16" s="52"/>
      <c r="D16" s="53"/>
    </row>
    <row r="17" spans="2:9" ht="15" thickBot="1" x14ac:dyDescent="0.4"/>
    <row r="18" spans="2:9" ht="15" thickBot="1" x14ac:dyDescent="0.4">
      <c r="B18" s="86" t="s">
        <v>8</v>
      </c>
      <c r="C18" s="87"/>
      <c r="D18" s="87"/>
      <c r="E18" s="87"/>
      <c r="F18" s="42" t="s">
        <v>9</v>
      </c>
      <c r="G18" s="42" t="s">
        <v>10</v>
      </c>
      <c r="H18" s="42" t="s">
        <v>11</v>
      </c>
      <c r="I18" s="43" t="s">
        <v>12</v>
      </c>
    </row>
    <row r="19" spans="2:9" x14ac:dyDescent="0.35">
      <c r="B19" s="88"/>
      <c r="C19" s="89"/>
      <c r="D19" s="89"/>
      <c r="E19" s="89"/>
      <c r="F19" s="39"/>
      <c r="G19" s="40"/>
      <c r="H19" s="40" t="str">
        <f>IF(F19&lt;&gt;"",G19*20%,"")</f>
        <v/>
      </c>
      <c r="I19" s="41" t="str">
        <f>IF(F19&lt;&gt;"",F19*G19,"")</f>
        <v/>
      </c>
    </row>
    <row r="20" spans="2:9" x14ac:dyDescent="0.35">
      <c r="B20" s="71"/>
      <c r="C20" s="72"/>
      <c r="D20" s="72"/>
      <c r="E20" s="72"/>
      <c r="F20" s="33"/>
      <c r="G20" s="34"/>
      <c r="H20" s="34" t="str">
        <f t="shared" ref="H20:H32" si="0">IF(F20&lt;&gt;"",G20*20%,"")</f>
        <v/>
      </c>
      <c r="I20" s="35" t="str">
        <f t="shared" ref="I20:I32" si="1">IF(F20&lt;&gt;"",F20*G20,"")</f>
        <v/>
      </c>
    </row>
    <row r="21" spans="2:9" x14ac:dyDescent="0.35">
      <c r="B21" s="71"/>
      <c r="C21" s="72"/>
      <c r="D21" s="72"/>
      <c r="E21" s="72"/>
      <c r="F21" s="33"/>
      <c r="G21" s="34"/>
      <c r="H21" s="34" t="str">
        <f t="shared" si="0"/>
        <v/>
      </c>
      <c r="I21" s="35" t="str">
        <f t="shared" si="1"/>
        <v/>
      </c>
    </row>
    <row r="22" spans="2:9" x14ac:dyDescent="0.35">
      <c r="B22" s="71"/>
      <c r="C22" s="72"/>
      <c r="D22" s="72"/>
      <c r="E22" s="72"/>
      <c r="F22" s="33"/>
      <c r="G22" s="34"/>
      <c r="H22" s="34" t="str">
        <f t="shared" si="0"/>
        <v/>
      </c>
      <c r="I22" s="35" t="str">
        <f t="shared" si="1"/>
        <v/>
      </c>
    </row>
    <row r="23" spans="2:9" x14ac:dyDescent="0.35">
      <c r="B23" s="71"/>
      <c r="C23" s="72"/>
      <c r="D23" s="72"/>
      <c r="E23" s="72"/>
      <c r="F23" s="33"/>
      <c r="G23" s="34"/>
      <c r="H23" s="34" t="str">
        <f t="shared" si="0"/>
        <v/>
      </c>
      <c r="I23" s="35" t="str">
        <f t="shared" si="1"/>
        <v/>
      </c>
    </row>
    <row r="24" spans="2:9" x14ac:dyDescent="0.35">
      <c r="B24" s="71"/>
      <c r="C24" s="72"/>
      <c r="D24" s="72"/>
      <c r="E24" s="72"/>
      <c r="F24" s="33"/>
      <c r="G24" s="34"/>
      <c r="H24" s="34" t="str">
        <f t="shared" si="0"/>
        <v/>
      </c>
      <c r="I24" s="35" t="str">
        <f t="shared" si="1"/>
        <v/>
      </c>
    </row>
    <row r="25" spans="2:9" x14ac:dyDescent="0.35">
      <c r="B25" s="71"/>
      <c r="C25" s="72"/>
      <c r="D25" s="72"/>
      <c r="E25" s="72"/>
      <c r="F25" s="33"/>
      <c r="G25" s="34"/>
      <c r="H25" s="34" t="str">
        <f t="shared" si="0"/>
        <v/>
      </c>
      <c r="I25" s="35" t="str">
        <f t="shared" si="1"/>
        <v/>
      </c>
    </row>
    <row r="26" spans="2:9" x14ac:dyDescent="0.35">
      <c r="B26" s="71"/>
      <c r="C26" s="72"/>
      <c r="D26" s="72"/>
      <c r="E26" s="72"/>
      <c r="F26" s="33"/>
      <c r="G26" s="34"/>
      <c r="H26" s="34" t="str">
        <f t="shared" si="0"/>
        <v/>
      </c>
      <c r="I26" s="35" t="str">
        <f t="shared" si="1"/>
        <v/>
      </c>
    </row>
    <row r="27" spans="2:9" x14ac:dyDescent="0.35">
      <c r="B27" s="71"/>
      <c r="C27" s="72"/>
      <c r="D27" s="72"/>
      <c r="E27" s="72"/>
      <c r="F27" s="33"/>
      <c r="G27" s="34"/>
      <c r="H27" s="34" t="str">
        <f t="shared" si="0"/>
        <v/>
      </c>
      <c r="I27" s="35" t="str">
        <f t="shared" si="1"/>
        <v/>
      </c>
    </row>
    <row r="28" spans="2:9" x14ac:dyDescent="0.35">
      <c r="B28" s="71"/>
      <c r="C28" s="72"/>
      <c r="D28" s="72"/>
      <c r="E28" s="72"/>
      <c r="F28" s="33"/>
      <c r="G28" s="34"/>
      <c r="H28" s="34" t="str">
        <f t="shared" si="0"/>
        <v/>
      </c>
      <c r="I28" s="35" t="str">
        <f t="shared" si="1"/>
        <v/>
      </c>
    </row>
    <row r="29" spans="2:9" x14ac:dyDescent="0.35">
      <c r="B29" s="71"/>
      <c r="C29" s="72"/>
      <c r="D29" s="72"/>
      <c r="E29" s="72"/>
      <c r="F29" s="33"/>
      <c r="G29" s="34"/>
      <c r="H29" s="34" t="str">
        <f t="shared" si="0"/>
        <v/>
      </c>
      <c r="I29" s="35" t="str">
        <f t="shared" si="1"/>
        <v/>
      </c>
    </row>
    <row r="30" spans="2:9" x14ac:dyDescent="0.35">
      <c r="B30" s="71"/>
      <c r="C30" s="72"/>
      <c r="D30" s="72"/>
      <c r="E30" s="72"/>
      <c r="F30" s="33"/>
      <c r="G30" s="34"/>
      <c r="H30" s="34" t="str">
        <f t="shared" si="0"/>
        <v/>
      </c>
      <c r="I30" s="35" t="str">
        <f t="shared" si="1"/>
        <v/>
      </c>
    </row>
    <row r="31" spans="2:9" x14ac:dyDescent="0.35">
      <c r="B31" s="71"/>
      <c r="C31" s="72"/>
      <c r="D31" s="72"/>
      <c r="E31" s="72"/>
      <c r="F31" s="33"/>
      <c r="G31" s="34"/>
      <c r="H31" s="34" t="str">
        <f t="shared" si="0"/>
        <v/>
      </c>
      <c r="I31" s="35" t="str">
        <f t="shared" si="1"/>
        <v/>
      </c>
    </row>
    <row r="32" spans="2:9" ht="15" thickBot="1" x14ac:dyDescent="0.4">
      <c r="B32" s="73"/>
      <c r="C32" s="74"/>
      <c r="D32" s="74"/>
      <c r="E32" s="74"/>
      <c r="F32" s="36"/>
      <c r="G32" s="37"/>
      <c r="H32" s="37" t="str">
        <f t="shared" si="0"/>
        <v/>
      </c>
      <c r="I32" s="38" t="str">
        <f t="shared" si="1"/>
        <v/>
      </c>
    </row>
    <row r="34" spans="2:9" ht="15" thickBot="1" x14ac:dyDescent="0.4">
      <c r="B34" s="62" t="s">
        <v>13</v>
      </c>
      <c r="C34" s="62"/>
      <c r="D34" s="62"/>
      <c r="E34" s="62"/>
    </row>
    <row r="35" spans="2:9" x14ac:dyDescent="0.35">
      <c r="B35" s="18"/>
      <c r="C35" s="19"/>
      <c r="D35" s="19"/>
      <c r="E35" s="20"/>
      <c r="G35" s="27"/>
      <c r="H35" s="28"/>
      <c r="I35" s="29"/>
    </row>
    <row r="36" spans="2:9" x14ac:dyDescent="0.35">
      <c r="B36" s="2"/>
      <c r="E36" s="3"/>
      <c r="G36" s="30" t="s">
        <v>14</v>
      </c>
      <c r="H36" s="63">
        <f>SUM(I19:I32)</f>
        <v>0</v>
      </c>
      <c r="I36" s="64"/>
    </row>
    <row r="37" spans="2:9" x14ac:dyDescent="0.35">
      <c r="B37" s="2"/>
      <c r="E37" s="3"/>
      <c r="G37" s="30" t="s">
        <v>11</v>
      </c>
      <c r="H37" s="63">
        <f>SUM(H19:H32)</f>
        <v>0</v>
      </c>
      <c r="I37" s="64"/>
    </row>
    <row r="38" spans="2:9" x14ac:dyDescent="0.35">
      <c r="B38" s="4"/>
      <c r="C38" s="5"/>
      <c r="D38" s="5"/>
      <c r="E38" s="6"/>
      <c r="G38" s="31" t="s">
        <v>15</v>
      </c>
      <c r="H38" s="65">
        <f>H36+H37</f>
        <v>0</v>
      </c>
      <c r="I38" s="59"/>
    </row>
    <row r="39" spans="2:9" ht="15" thickBot="1" x14ac:dyDescent="0.4"/>
    <row r="40" spans="2:9" ht="15" thickTop="1" x14ac:dyDescent="0.35">
      <c r="B40" s="68" t="s">
        <v>16</v>
      </c>
      <c r="C40" s="69"/>
      <c r="D40" s="69"/>
      <c r="E40" s="69"/>
      <c r="F40" s="70"/>
      <c r="G40" s="66" t="s">
        <v>17</v>
      </c>
      <c r="H40" s="66"/>
      <c r="I40" s="67"/>
    </row>
    <row r="41" spans="2:9" x14ac:dyDescent="0.35">
      <c r="B41" s="24" t="s">
        <v>18</v>
      </c>
      <c r="C41" s="54"/>
      <c r="D41" s="58"/>
      <c r="E41" s="58"/>
      <c r="F41" s="59"/>
      <c r="G41" s="16" t="s">
        <v>19</v>
      </c>
      <c r="H41" s="54"/>
      <c r="I41" s="55"/>
    </row>
    <row r="42" spans="2:9" x14ac:dyDescent="0.35">
      <c r="B42" s="24" t="s">
        <v>20</v>
      </c>
      <c r="C42" s="54"/>
      <c r="D42" s="58"/>
      <c r="E42" s="58"/>
      <c r="F42" s="59"/>
      <c r="G42" s="16" t="s">
        <v>21</v>
      </c>
      <c r="H42" s="54"/>
      <c r="I42" s="55"/>
    </row>
    <row r="43" spans="2:9" x14ac:dyDescent="0.35">
      <c r="B43" s="24" t="s">
        <v>22</v>
      </c>
      <c r="C43" s="54"/>
      <c r="D43" s="58"/>
      <c r="E43" s="58"/>
      <c r="F43" s="59"/>
      <c r="G43" s="16" t="s">
        <v>23</v>
      </c>
      <c r="H43" s="54"/>
      <c r="I43" s="55"/>
    </row>
    <row r="44" spans="2:9" ht="15" thickBot="1" x14ac:dyDescent="0.4">
      <c r="B44" s="25" t="s">
        <v>24</v>
      </c>
      <c r="C44" s="56"/>
      <c r="D44" s="60"/>
      <c r="E44" s="60"/>
      <c r="F44" s="61"/>
      <c r="G44" s="26" t="s">
        <v>25</v>
      </c>
      <c r="H44" s="56"/>
      <c r="I44" s="57"/>
    </row>
    <row r="45" spans="2:9" ht="15" thickTop="1" x14ac:dyDescent="0.35"/>
  </sheetData>
  <mergeCells count="40">
    <mergeCell ref="B23:E23"/>
    <mergeCell ref="A1:F1"/>
    <mergeCell ref="H1:I1"/>
    <mergeCell ref="C3:D3"/>
    <mergeCell ref="C4:D4"/>
    <mergeCell ref="C5:D5"/>
    <mergeCell ref="C6:D6"/>
    <mergeCell ref="B18:E18"/>
    <mergeCell ref="B19:E19"/>
    <mergeCell ref="B20:E20"/>
    <mergeCell ref="B21:E21"/>
    <mergeCell ref="B22:E22"/>
    <mergeCell ref="C10:D10"/>
    <mergeCell ref="C11:D11"/>
    <mergeCell ref="C13:D13"/>
    <mergeCell ref="C15:D15"/>
    <mergeCell ref="B31:E31"/>
    <mergeCell ref="B32:E32"/>
    <mergeCell ref="B24:E24"/>
    <mergeCell ref="B25:E25"/>
    <mergeCell ref="B26:E26"/>
    <mergeCell ref="B27:E27"/>
    <mergeCell ref="B28:E28"/>
    <mergeCell ref="B29:E29"/>
    <mergeCell ref="C16:D16"/>
    <mergeCell ref="H41:I41"/>
    <mergeCell ref="H42:I42"/>
    <mergeCell ref="H43:I43"/>
    <mergeCell ref="H44:I44"/>
    <mergeCell ref="C41:F41"/>
    <mergeCell ref="C42:F42"/>
    <mergeCell ref="C43:F43"/>
    <mergeCell ref="C44:F44"/>
    <mergeCell ref="B34:E34"/>
    <mergeCell ref="H36:I36"/>
    <mergeCell ref="H37:I37"/>
    <mergeCell ref="H38:I38"/>
    <mergeCell ref="G40:I40"/>
    <mergeCell ref="B40:F40"/>
    <mergeCell ref="B30:E30"/>
  </mergeCells>
  <dataValidations count="2">
    <dataValidation type="list" allowBlank="1" showInputMessage="1" showErrorMessage="1" sqref="C6:D6" xr:uid="{39A63EB5-3A66-410C-9FD1-EAFFFE2B33EA}">
      <formula1>"30,60,90"</formula1>
    </dataValidation>
    <dataValidation type="list" allowBlank="1" showInputMessage="1" showErrorMessage="1" sqref="B10" xr:uid="{751AD8EF-0D75-4185-BCB7-4BD3DFB4AE43}">
      <formula1>Cust_listdropdown</formula1>
    </dataValidation>
  </dataValidations>
  <pageMargins left="0.25" right="0.25" top="0.2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autoFill="0" autoPict="0" macro="[0]!RecordofInVoice">
                <anchor moveWithCells="1" sizeWithCells="1">
                  <from>
                    <xdr:col>10</xdr:col>
                    <xdr:colOff>431800</xdr:colOff>
                    <xdr:row>2</xdr:row>
                    <xdr:rowOff>63500</xdr:rowOff>
                  </from>
                  <to>
                    <xdr:col>13</xdr:col>
                    <xdr:colOff>215900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autoFill="0" autoPict="0" macro="[0]!CreateNewInvoice">
                <anchor moveWithCells="1" sizeWithCells="1">
                  <from>
                    <xdr:col>10</xdr:col>
                    <xdr:colOff>425450</xdr:colOff>
                    <xdr:row>6</xdr:row>
                    <xdr:rowOff>139700</xdr:rowOff>
                  </from>
                  <to>
                    <xdr:col>13</xdr:col>
                    <xdr:colOff>222250</xdr:colOff>
                    <xdr:row>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Button 23">
              <controlPr defaultSize="0" autoFill="0" autoPict="0" macro="[0]!SaveInvAsExcel">
                <anchor moveWithCells="1" sizeWithCells="1">
                  <from>
                    <xdr:col>10</xdr:col>
                    <xdr:colOff>419100</xdr:colOff>
                    <xdr:row>11</xdr:row>
                    <xdr:rowOff>31750</xdr:rowOff>
                  </from>
                  <to>
                    <xdr:col>13</xdr:col>
                    <xdr:colOff>234950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autoFill="0" autoPict="0" macro="[0]!SaveasPDF">
                <anchor moveWithCells="1" sizeWithCells="1">
                  <from>
                    <xdr:col>10</xdr:col>
                    <xdr:colOff>444500</xdr:colOff>
                    <xdr:row>15</xdr:row>
                    <xdr:rowOff>88900</xdr:rowOff>
                  </from>
                  <to>
                    <xdr:col>13</xdr:col>
                    <xdr:colOff>241300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Button 30">
              <controlPr defaultSize="0" autoFill="0" autoPict="0" macro="[0]!EmailasPDF">
                <anchor moveWithCells="1" sizeWithCells="1">
                  <from>
                    <xdr:col>10</xdr:col>
                    <xdr:colOff>431800</xdr:colOff>
                    <xdr:row>19</xdr:row>
                    <xdr:rowOff>101600</xdr:rowOff>
                  </from>
                  <to>
                    <xdr:col>13</xdr:col>
                    <xdr:colOff>260350</xdr:colOff>
                    <xdr:row>22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15576-6172-424A-B026-007D5810E249}">
  <sheetPr codeName="Sheet3"/>
  <dimension ref="A1:G19"/>
  <sheetViews>
    <sheetView workbookViewId="0">
      <selection activeCell="E30" sqref="E30"/>
    </sheetView>
  </sheetViews>
  <sheetFormatPr defaultRowHeight="14.5" x14ac:dyDescent="0.35"/>
  <cols>
    <col min="1" max="1" width="16.26953125" customWidth="1"/>
    <col min="2" max="2" width="16.453125" customWidth="1"/>
    <col min="3" max="3" width="18.1796875" customWidth="1"/>
    <col min="4" max="4" width="18" customWidth="1"/>
    <col min="5" max="5" width="17.1796875" customWidth="1"/>
    <col min="6" max="6" width="22" customWidth="1"/>
    <col min="7" max="7" width="20.81640625" customWidth="1"/>
  </cols>
  <sheetData>
    <row r="1" spans="1:7" x14ac:dyDescent="0.3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24</v>
      </c>
    </row>
    <row r="2" spans="1:7" x14ac:dyDescent="0.35">
      <c r="A2" t="s">
        <v>32</v>
      </c>
      <c r="B2" t="s">
        <v>33</v>
      </c>
      <c r="C2" t="s">
        <v>34</v>
      </c>
      <c r="D2" t="s">
        <v>35</v>
      </c>
      <c r="E2">
        <v>61990</v>
      </c>
      <c r="F2" t="s">
        <v>36</v>
      </c>
      <c r="G2" s="32" t="s">
        <v>37</v>
      </c>
    </row>
    <row r="3" spans="1:7" x14ac:dyDescent="0.35">
      <c r="A3" t="s">
        <v>38</v>
      </c>
      <c r="B3" t="s">
        <v>39</v>
      </c>
      <c r="C3" t="s">
        <v>34</v>
      </c>
      <c r="D3" t="s">
        <v>35</v>
      </c>
      <c r="E3">
        <v>61820</v>
      </c>
      <c r="F3" t="s">
        <v>40</v>
      </c>
      <c r="G3" s="32" t="s">
        <v>41</v>
      </c>
    </row>
    <row r="4" spans="1:7" x14ac:dyDescent="0.35">
      <c r="A4" t="s">
        <v>42</v>
      </c>
      <c r="B4" t="s">
        <v>43</v>
      </c>
      <c r="C4" t="s">
        <v>34</v>
      </c>
      <c r="D4" t="s">
        <v>35</v>
      </c>
      <c r="E4">
        <v>51701</v>
      </c>
      <c r="F4" t="s">
        <v>44</v>
      </c>
      <c r="G4" s="32" t="s">
        <v>45</v>
      </c>
    </row>
    <row r="5" spans="1:7" x14ac:dyDescent="0.35">
      <c r="A5" t="s">
        <v>46</v>
      </c>
      <c r="B5" t="s">
        <v>47</v>
      </c>
      <c r="C5" t="s">
        <v>34</v>
      </c>
      <c r="D5" t="s">
        <v>35</v>
      </c>
      <c r="E5">
        <v>24510</v>
      </c>
      <c r="F5" t="s">
        <v>48</v>
      </c>
      <c r="G5" s="32" t="s">
        <v>49</v>
      </c>
    </row>
    <row r="6" spans="1:7" x14ac:dyDescent="0.35">
      <c r="A6" t="s">
        <v>50</v>
      </c>
      <c r="B6" t="s">
        <v>51</v>
      </c>
      <c r="C6" t="s">
        <v>34</v>
      </c>
      <c r="D6" t="s">
        <v>35</v>
      </c>
      <c r="E6">
        <v>12450</v>
      </c>
      <c r="F6" t="s">
        <v>52</v>
      </c>
      <c r="G6" s="32" t="s">
        <v>53</v>
      </c>
    </row>
    <row r="7" spans="1:7" x14ac:dyDescent="0.35">
      <c r="A7" t="s">
        <v>54</v>
      </c>
      <c r="B7" t="s">
        <v>55</v>
      </c>
      <c r="C7" t="s">
        <v>34</v>
      </c>
      <c r="D7" t="s">
        <v>35</v>
      </c>
      <c r="E7">
        <v>12401</v>
      </c>
      <c r="F7" t="s">
        <v>56</v>
      </c>
      <c r="G7" s="32" t="s">
        <v>57</v>
      </c>
    </row>
    <row r="8" spans="1:7" x14ac:dyDescent="0.35">
      <c r="C8" s="45"/>
      <c r="D8" s="46"/>
      <c r="E8" s="46"/>
    </row>
    <row r="9" spans="1:7" x14ac:dyDescent="0.35">
      <c r="C9" s="45"/>
      <c r="D9" s="47"/>
      <c r="E9" s="47"/>
    </row>
    <row r="10" spans="1:7" x14ac:dyDescent="0.35">
      <c r="C10" s="45"/>
      <c r="D10" s="47"/>
      <c r="E10" s="47"/>
    </row>
    <row r="11" spans="1:7" x14ac:dyDescent="0.35">
      <c r="C11" s="45"/>
      <c r="D11" s="46"/>
      <c r="E11" s="46"/>
    </row>
    <row r="12" spans="1:7" x14ac:dyDescent="0.35">
      <c r="C12" s="45"/>
      <c r="D12" s="46"/>
      <c r="E12" s="46"/>
    </row>
    <row r="13" spans="1:7" x14ac:dyDescent="0.35">
      <c r="C13" s="45"/>
      <c r="D13" s="46"/>
      <c r="E13" s="46"/>
    </row>
    <row r="14" spans="1:7" x14ac:dyDescent="0.35">
      <c r="C14" s="45"/>
      <c r="D14" s="46"/>
      <c r="E14" s="46"/>
    </row>
    <row r="15" spans="1:7" x14ac:dyDescent="0.35">
      <c r="C15" s="45"/>
      <c r="D15" s="46"/>
      <c r="E15" s="46"/>
    </row>
    <row r="16" spans="1:7" x14ac:dyDescent="0.35">
      <c r="C16" s="45"/>
      <c r="D16" s="46"/>
      <c r="E16" s="46"/>
    </row>
    <row r="17" spans="3:5" x14ac:dyDescent="0.35">
      <c r="C17" s="45"/>
      <c r="D17" s="46"/>
      <c r="E17" s="46"/>
    </row>
    <row r="18" spans="3:5" x14ac:dyDescent="0.35">
      <c r="C18" s="45"/>
      <c r="D18" s="46"/>
      <c r="E18" s="46"/>
    </row>
    <row r="19" spans="3:5" x14ac:dyDescent="0.35">
      <c r="C19" s="45"/>
      <c r="D19" s="46"/>
      <c r="E19" s="46"/>
    </row>
  </sheetData>
  <phoneticPr fontId="7" type="noConversion"/>
  <hyperlinks>
    <hyperlink ref="G2" r:id="rId1" xr:uid="{7BFAA866-A486-4A91-B858-D0AB662B4F4A}"/>
    <hyperlink ref="G3:G7" r:id="rId2" display="Mark@lumon.org" xr:uid="{121CBE90-8A4D-4BED-AC67-A7E21C30EB12}"/>
    <hyperlink ref="G3" r:id="rId3" xr:uid="{CB6B68C8-4518-465A-B80F-6411458B26D1}"/>
    <hyperlink ref="G4" r:id="rId4" xr:uid="{B3D0C23F-D95A-4B14-8667-EE35D3EAB8DC}"/>
    <hyperlink ref="G5" r:id="rId5" xr:uid="{4E898320-C9EB-4BD9-99AF-6B771BD3ED48}"/>
    <hyperlink ref="G6" r:id="rId6" xr:uid="{C8B81394-C44B-409B-9835-4781B04DFF9D}"/>
    <hyperlink ref="G7" r:id="rId7" xr:uid="{71BA529F-B569-496C-8F45-6B2009F1AD3C}"/>
  </hyperlinks>
  <pageMargins left="0.7" right="0.7" top="0.75" bottom="0.75" header="0.3" footer="0.3"/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CC6E6-7271-44BA-A31C-C1ED56309246}">
  <sheetPr codeName="Sheet2"/>
  <dimension ref="A1:I9"/>
  <sheetViews>
    <sheetView workbookViewId="0">
      <selection activeCell="H27" sqref="H27"/>
    </sheetView>
  </sheetViews>
  <sheetFormatPr defaultRowHeight="14.5" x14ac:dyDescent="0.35"/>
  <cols>
    <col min="1" max="1" width="16.54296875" customWidth="1"/>
    <col min="2" max="2" width="17.81640625" customWidth="1"/>
    <col min="3" max="3" width="11.08984375" customWidth="1"/>
    <col min="4" max="4" width="13.453125" customWidth="1"/>
    <col min="5" max="5" width="12.453125" customWidth="1"/>
    <col min="6" max="6" width="8.453125" customWidth="1"/>
    <col min="7" max="7" width="45.453125" customWidth="1"/>
    <col min="8" max="8" width="46.54296875" customWidth="1"/>
    <col min="9" max="9" width="23.453125" customWidth="1"/>
  </cols>
  <sheetData>
    <row r="1" spans="1:9" x14ac:dyDescent="0.35">
      <c r="A1" s="44" t="s">
        <v>2</v>
      </c>
      <c r="B1" s="44" t="s">
        <v>58</v>
      </c>
      <c r="C1" s="44" t="s">
        <v>59</v>
      </c>
      <c r="D1" s="44" t="s">
        <v>60</v>
      </c>
      <c r="E1" s="44" t="s">
        <v>61</v>
      </c>
      <c r="F1" s="44" t="s">
        <v>62</v>
      </c>
      <c r="G1" s="44" t="s">
        <v>63</v>
      </c>
      <c r="H1" s="44" t="s">
        <v>64</v>
      </c>
      <c r="I1" s="44" t="s">
        <v>65</v>
      </c>
    </row>
    <row r="2" spans="1:9" x14ac:dyDescent="0.35">
      <c r="C2" s="45"/>
      <c r="D2" s="46"/>
      <c r="E2" s="46"/>
    </row>
    <row r="3" spans="1:9" x14ac:dyDescent="0.35">
      <c r="C3" s="45"/>
      <c r="D3" s="46"/>
      <c r="E3" s="46"/>
    </row>
    <row r="4" spans="1:9" x14ac:dyDescent="0.35">
      <c r="C4" s="45"/>
      <c r="D4" s="46"/>
      <c r="E4" s="46"/>
      <c r="H4" s="32"/>
      <c r="I4" s="32"/>
    </row>
    <row r="5" spans="1:9" x14ac:dyDescent="0.35">
      <c r="C5" s="45"/>
      <c r="D5" s="46"/>
      <c r="E5" s="46"/>
      <c r="G5" s="32"/>
      <c r="I5" s="51"/>
    </row>
    <row r="6" spans="1:9" x14ac:dyDescent="0.35">
      <c r="C6" s="45"/>
      <c r="D6" s="46"/>
      <c r="E6" s="46"/>
    </row>
    <row r="7" spans="1:9" x14ac:dyDescent="0.35">
      <c r="C7" s="45"/>
      <c r="D7" s="46"/>
      <c r="E7" s="46"/>
    </row>
    <row r="8" spans="1:9" x14ac:dyDescent="0.35">
      <c r="C8" s="45"/>
      <c r="D8" s="46"/>
      <c r="E8" s="46"/>
    </row>
    <row r="9" spans="1:9" x14ac:dyDescent="0.35">
      <c r="C9" s="45"/>
      <c r="D9" s="46"/>
      <c r="E9" s="46"/>
    </row>
  </sheetData>
  <conditionalFormatting sqref="A2:F1000">
    <cfRule type="expression" dxfId="0" priority="1">
      <formula>AND($A2&lt;&gt;"",$E2&lt;TODAY(),$F2&lt;&gt;"Yes")</formula>
    </cfRule>
  </conditionalFormatting>
  <dataValidations count="1">
    <dataValidation type="list" allowBlank="1" showInputMessage="1" showErrorMessage="1" sqref="F2:F1000" xr:uid="{1FC2F8A5-F811-4143-87C4-8A900029411D}">
      <formula1>"Yes"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dd9b37a-b37b-4da0-90f7-00611d807b4f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A7BF41EB4CADD4F846BF591197B0E16" ma:contentTypeVersion="9" ma:contentTypeDescription="Create a new document." ma:contentTypeScope="" ma:versionID="58dc71de5e839b7a97ac7e279763e6fa">
  <xsd:schema xmlns:xsd="http://www.w3.org/2001/XMLSchema" xmlns:xs="http://www.w3.org/2001/XMLSchema" xmlns:p="http://schemas.microsoft.com/office/2006/metadata/properties" xmlns:ns3="add9b37a-b37b-4da0-90f7-00611d807b4f" xmlns:ns4="82eb0841-d5b8-4cf3-8ac5-7143b2f5fd27" targetNamespace="http://schemas.microsoft.com/office/2006/metadata/properties" ma:root="true" ma:fieldsID="1481d8a61d51a32946154cee3d96c22a" ns3:_="" ns4:_="">
    <xsd:import namespace="add9b37a-b37b-4da0-90f7-00611d807b4f"/>
    <xsd:import namespace="82eb0841-d5b8-4cf3-8ac5-7143b2f5fd2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dd9b37a-b37b-4da0-90f7-00611d807b4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eb0841-d5b8-4cf3-8ac5-7143b2f5fd2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F93121-155B-4AED-B95F-79899838C9DB}">
  <ds:schemaRefs>
    <ds:schemaRef ds:uri="http://purl.org/dc/elements/1.1/"/>
    <ds:schemaRef ds:uri="add9b37a-b37b-4da0-90f7-00611d807b4f"/>
    <ds:schemaRef ds:uri="http://purl.org/dc/terms/"/>
    <ds:schemaRef ds:uri="82eb0841-d5b8-4cf3-8ac5-7143b2f5fd27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1CBF856-E4D7-4974-8ECD-A955C76EF7D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EEE6CAB-2E5A-4CD3-B4BE-60B8121964E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dd9b37a-b37b-4da0-90f7-00611d807b4f"/>
    <ds:schemaRef ds:uri="82eb0841-d5b8-4cf3-8ac5-7143b2f5fd2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Invoice Template</vt:lpstr>
      <vt:lpstr>Customers Details</vt:lpstr>
      <vt:lpstr>Record of Invoices</vt:lpstr>
      <vt:lpstr>Cust_listdropdown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Ivan Mu</dc:creator>
  <cp:keywords/>
  <dc:description/>
  <cp:lastModifiedBy>Ivan Mu</cp:lastModifiedBy>
  <cp:revision/>
  <cp:lastPrinted>2025-02-10T22:03:03Z</cp:lastPrinted>
  <dcterms:created xsi:type="dcterms:W3CDTF">2025-02-08T19:11:32Z</dcterms:created>
  <dcterms:modified xsi:type="dcterms:W3CDTF">2025-02-10T22:03:46Z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0x0101006A7BF41EB4CADD4F846BF591197B0E16</vt:lpwstr>
  </property>
</Properties>
</file>